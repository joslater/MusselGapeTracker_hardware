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43077F51-7C1D-624E-9A16-CF8452D05F9A}" xr6:coauthVersionLast="47" xr6:coauthVersionMax="47" xr10:uidLastSave="{00000000-0000-0000-0000-000000000000}"/>
  <bookViews>
    <workbookView xWindow="0" yWindow="66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4" i="2" l="1"/>
  <c r="H58" i="2"/>
  <c r="H83" i="2"/>
  <c r="H82" i="2"/>
  <c r="H80" i="2"/>
  <c r="H35" i="2"/>
  <c r="H79" i="2"/>
  <c r="H78" i="2"/>
  <c r="H77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<sst xmlns="http://schemas.openxmlformats.org/spreadsheetml/2006/main" count="505" uniqueCount="439">
  <si>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</si>
  <si>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</si>
  <si>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</si>
  <si>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</si>
  <si>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</si>
  <si>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</si>
  <si>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</si>
  <si>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</si>
  <si>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</si>
  <si>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</si>
  <si>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</si>
  <si>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</si>
  <si>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</si>
  <si>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</si>
  <si>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</si>
  <si>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</si>
  <si>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</si>
  <si>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</si>
  <si>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</si>
  <si>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</si>
  <si>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</si>
  <si>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</si>
  <si>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</si>
  <si>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</si>
  <si>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</si>
  <si>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</si>
  <si>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</si>
  <si>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</si>
  <si>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</si>
  <si>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</si>
  <si>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</si>
  <si>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</si>
  <si>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</si>
  <si>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</si>
  <si>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</si>
  <si>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</si>
  <si>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</si>
  <si>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</si>
  <si>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</si>
  <si>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</si>
  <si>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</si>
  <si>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</si>
  <si>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</si>
  <si>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</si>
  <si>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</si>
  <si>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</si>
  <si>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</si>
  <si>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</si>
  <si>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</si>
  <si>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</si>
  <si>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</si>
  <si>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</si>
  <si>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</si>
  <si>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</si>
  <si>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</si>
  <si>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</si>
  <si>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</si>
  <si>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</si>
  <si>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</si>
  <si>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</si>
  <si>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</si>
  <si>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</si>
  <si>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</si>
  <si>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</si>
  <si>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</si>
  <si>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</si>
  <si>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</si>
  <si>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</si>
  <si>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</si>
  <si>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</si>
  <si>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</si>
  <si>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</si>
  <si>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</si>
  <si>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</si>
  <si>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</si>
  <si>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</si>
  <si>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</si>
  <si>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</si>
  <si>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</si>
  <si>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</si>
  <si>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</si>
  <si>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</si>
  <si>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</si>
  <si>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</si>
  <si>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</si>
  <si>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</si>
  <si>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</si>
  <si>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</si>
  <si>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</si>
  <si>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</si>
  <si>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</si>
  <si>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</si>
  <si>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</si>
  <si>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</si>
  <si>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</si>
  <si>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miller.lbr\MOSFET-PCHANNEL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</si>
  <si>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</si>
  <si>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</si>
  <si>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</si>
  <si>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</si>
  <si>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</si>
  <si>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</si>
  <si>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</si>
  <si>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</si>
  <si>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</si>
  <si>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</si>
  <si>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</si>
  <si>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</si>
  <si>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</si>
  <si>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</si>
  <si>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</si>
  <si>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</si>
  <si>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</si>
  <si>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</si>
  <si>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</si>
  <si>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</si>
  <si>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</si>
  <si>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</si>
  <si>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</si>
  <si>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</si>
  <si>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</si>
  <si>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</si>
  <si>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</si>
  <si>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</si>
  <si>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</si>
  <si>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</si>
  <si>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</si>
  <si>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</si>
  <si>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</si>
  <si>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</si>
  <si>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</si>
  <si>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</si>
  <si>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</si>
  <si>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</si>
  <si>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</si>
  <si>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</si>
  <si>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</si>
  <si>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</si>
  <si>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</si>
  <si>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</si>
  <si>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</si>
  <si>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</si>
  <si>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</si>
  <si>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</si>
  <si>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</si>
  <si>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</si>
  <si>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</si>
  <si>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</si>
  <si>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</si>
  <si>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</si>
  <si>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</si>
  <si>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</si>
  <si>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</si>
  <si>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</si>
  <si>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</si>
  <si>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</si>
  <si>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</si>
  <si>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</si>
  <si>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</si>
  <si>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</si>
  <si>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</si>
  <si>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</si>
  <si>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</si>
  <si>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</si>
  <si>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</si>
  <si>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</si>
  <si>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</si>
  <si>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</si>
  <si>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</si>
  <si>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</si>
  <si>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</si>
  <si>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</si>
  <si>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</si>
  <si>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</si>
  <si>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</si>
  <si>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</si>
  <si>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</si>
  <si>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</si>
  <si>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</si>
  <si>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</si>
  <si>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</si>
  <si>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</si>
  <si>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</si>
  <si>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</si>
  <si>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</si>
  <si>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</si>
  <si>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</si>
  <si>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</si>
  <si>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</si>
  <si>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</si>
  <si>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</si>
  <si>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</si>
  <si>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</si>
  <si>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</si>
  <si>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</si>
  <si>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</si>
  <si>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</si>
  <si>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</si>
  <si>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</si>
  <si>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</si>
  <si>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</si>
  <si>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</si>
  <si>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</si>
  <si>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</si>
  <si>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</si>
  <si>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</si>
  <si>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</si>
  <si>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</si>
  <si>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</si>
  <si>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</si>
  <si>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</si>
  <si>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</si>
  <si>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</si>
  <si>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</si>
  <si>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</si>
  <si>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</si>
  <si>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</si>
  <si>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</si>
  <si>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</si>
  <si>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</si>
  <si>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</si>
  <si>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</si>
  <si>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</si>
  <si>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</si>
  <si>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</si>
  <si>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</si>
  <si>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</si>
  <si>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</si>
  <si>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</si>
  <si>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</si>
  <si>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</si>
  <si>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</si>
  <si>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</si>
  <si>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</si>
  <si>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</si>
  <si>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</si>
  <si>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</si>
  <si>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</si>
  <si>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</si>
  <si>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</si>
  <si>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</si>
  <si>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</si>
  <si>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</si>
  <si>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</si>
  <si>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</si>
  <si>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</si>
  <si>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</si>
  <si>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</si>
  <si>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</si>
  <si>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</si>
  <si>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</si>
  <si>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</si>
  <si>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</si>
  <si>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</si>
  <si>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</si>
  <si>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</si>
  <si>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</si>
  <si>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</si>
  <si>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</si>
  <si>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</si>
  <si>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</si>
  <si>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</si>
  <si>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</si>
  <si>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</si>
  <si>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</si>
  <si>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</si>
  <si>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</si>
  <si>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</si>
  <si>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</si>
  <si>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</si>
  <si>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</si>
  <si>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</si>
  <si>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</si>
  <si>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</si>
  <si>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</si>
  <si>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</si>
  <si>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</si>
  <si>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</si>
  <si>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</si>
  <si>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</si>
  <si>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</si>
  <si>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</si>
  <si>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</si>
  <si>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</si>
  <si>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</si>
  <si>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</si>
  <si>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</si>
  <si>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</si>
  <si>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</si>
  <si>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</si>
  <si>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</si>
  <si>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</si>
  <si>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</si>
  <si>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CNC Tech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</si>
  <si>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</si>
  <si>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</si>
  <si>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</si>
  <si>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</si>
  <si>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</si>
  <si>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</si>
  <si>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</si>
  <si>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</si>
  <si>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</si>
  <si>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</si>
  <si>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</si>
  <si>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</si>
  <si>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</si>
  <si>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</si>
  <si>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</si>
  <si>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</si>
  <si>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</si>
  <si>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</si>
  <si>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</si>
  <si>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</si>
  <si>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</si>
  <si>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</si>
  <si>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</si>
  <si>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</si>
  <si>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</si>
  <si>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</si>
  <si>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</si>
  <si>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</si>
  <si>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</si>
  <si>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</si>
  <si>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</si>
  <si>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</si>
  <si>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</si>
  <si>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</si>
  <si>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</si>
  <si>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</si>
  <si>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</si>
  <si>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</si>
  <si>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</si>
  <si>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</si>
  <si>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</si>
  <si>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</si>
  <si>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</si>
  <si>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</si>
  <si>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</si>
  <si>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</si>
  <si>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</si>
  <si>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</si>
  <si>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</si>
  <si>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</si>
  <si>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</si>
  <si>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</si>
  <si>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</si>
  <si>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</si>
  <si>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</si>
  <si>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</si>
  <si>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</si>
  <si>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</si>
  <si>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Real Time Clock, DS3231M+TRL  SO-16 footprint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</si>
  <si>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</si>
  <si>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</si>
  <si>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</si>
  <si>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</si>
  <si>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</si>
  <si>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</si>
  <si>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</si>
  <si>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</si>
  <si>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</si>
  <si>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</si>
  <si>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</si>
  <si>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</si>
  <si>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</si>
  <si>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</si>
  <si>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</si>
  <si>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</si>
  <si>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</si>
  <si>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</si>
  <si>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</si>
  <si>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</si>
  <si>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</si>
  <si>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</si>
  <si>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</si>
  <si>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</si>
  <si>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</si>
  <si>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</si>
  <si>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</si>
  <si>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</si>
  <si>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</si>
  <si>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</si>
  <si>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</si>
  <si>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</si>
  <si>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</si>
  <si>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</si>
  <si>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</si>
  <si>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</si>
  <si>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</si>
  <si>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</si>
  <si>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</si>
  <si>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</si>
  <si>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</si>
  <si>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</si>
  <si>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</si>
  <si>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</si>
  <si>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MusselGapeTracker RevF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</si>
  <si>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</si>
  <si>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</si>
  <si>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</si>
  <si>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</si>
  <si>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</si>
  <si>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</si>
  <si>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</si>
  <si>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</si>
  <si>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</si>
  <si>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</si>
  <si>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</si>
  <si>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</si>
  <si>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</si>
  <si>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</si>
  <si>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Hall effect sensor board stencil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</si>
  <si>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</si>
  <si>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</si>
  <si>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</si>
  <si>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</si>
  <si>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</si>
  <si>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</si>
  <si>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</si>
  <si>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</si>
  <si>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slater substitute</t>
  </si>
  <si>
    <t>CD74HC4067PWR multiplexer 16 channel (24-TSSOP 4.4x7.8mm, 0.65mm pitch)</t>
  </si>
  <si>
    <t>CD74HC4067PWR</t>
  </si>
  <si>
    <t>296-CD74HC4067PWRCT-ND</t>
  </si>
  <si>
    <t>FIND SUBSTITUTE, OR AVAILABLE AT https://www.lcsc.com/product-detail/C131334.html</t>
  </si>
  <si>
    <t>NEED SUB IF USING DIFF HEADER</t>
  </si>
  <si>
    <t>slater substitute alt for main</t>
  </si>
  <si>
    <t>Toshiba</t>
  </si>
  <si>
    <t>P-Channel 20 V 6A (Ta) 1W (Ta) Surface Mount SOT-23F</t>
  </si>
  <si>
    <t>2725-2828-BE-01000-A</t>
  </si>
  <si>
    <t>CN306-100-ND</t>
  </si>
  <si>
    <r>
      <t xml:space="preserve">(varies based on length needs), </t>
    </r>
    <r>
      <rPr>
        <sz val="11"/>
        <color theme="1"/>
        <rFont val="Calibri (Body)"/>
      </rPr>
      <t>slater substitute</t>
    </r>
  </si>
  <si>
    <t>^ft</t>
  </si>
  <si>
    <t>^/ft</t>
  </si>
  <si>
    <t>MusselGapeTracker RevI stencil</t>
  </si>
  <si>
    <t>MusselGapeTracker_RevI circuit board (order of 3)</t>
  </si>
  <si>
    <t>MicroSD card slot 5033981892</t>
  </si>
  <si>
    <t>WM11190CT-ND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</si>
</sst>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theme="1"/>
      <name val="Calibri (Body)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0" fillId="4" borderId="0" xfId="0" applyFill="1" applyAlignment="1">
      <alignment wrapText="1"/>
    </xf>
    <xf numFmtId="0" fontId="11" fillId="0" borderId="0" xfId="0" applyFont="1"/>
    <xf numFmtId="44" fontId="0" fillId="0" borderId="0" xfId="1" applyFont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shpark.com/shared_projects/4MzgqBxC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15" activePane="bottomLeft" state="frozen"/>
      <selection pane="bottomLeft" activeCell="G31" sqref="G31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397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402</v>
      </c>
      <c r="J2" s="15" t="s">
        <v>337</v>
      </c>
      <c r="K2" s="15" t="s">
        <v>338</v>
      </c>
      <c r="L2" s="15" t="s">
        <v>341</v>
      </c>
      <c r="M2" s="15" t="s">
        <v>342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134</v>
      </c>
      <c r="B5" t="s">
        <v>14</v>
      </c>
      <c r="C5" t="s">
        <v>15</v>
      </c>
      <c r="D5" t="s">
        <v>133</v>
      </c>
      <c r="E5" s="7">
        <v>1</v>
      </c>
      <c r="F5" t="s">
        <v>132</v>
      </c>
      <c r="G5" s="6">
        <v>0.73</v>
      </c>
      <c r="H5" s="6">
        <f>G5*E5</f>
        <v>0.73</v>
      </c>
    </row>
    <row r="6" spans="1:13" ht="16" x14ac:dyDescent="0.2">
      <c r="A6" s="40" t="s">
        <v>287</v>
      </c>
      <c r="B6" t="s">
        <v>14</v>
      </c>
      <c r="C6" t="s">
        <v>20</v>
      </c>
      <c r="D6" t="s">
        <v>419</v>
      </c>
      <c r="E6" s="7">
        <v>1</v>
      </c>
      <c r="F6" t="s">
        <v>420</v>
      </c>
      <c r="G6" s="6">
        <v>0.65</v>
      </c>
      <c r="H6" s="6">
        <f>G6*E6</f>
        <v>0.65</v>
      </c>
      <c r="I6" t="s">
        <v>421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111</v>
      </c>
      <c r="B8" t="s">
        <v>19</v>
      </c>
      <c r="C8" t="s">
        <v>20</v>
      </c>
      <c r="D8" t="s">
        <v>113</v>
      </c>
      <c r="E8" s="7">
        <v>2</v>
      </c>
      <c r="F8" t="s">
        <v>112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306</v>
      </c>
      <c r="B14" t="s">
        <v>40</v>
      </c>
      <c r="C14" t="s">
        <v>323</v>
      </c>
      <c r="D14" t="s">
        <v>305</v>
      </c>
      <c r="E14" s="7">
        <v>1</v>
      </c>
      <c r="F14" t="s">
        <v>304</v>
      </c>
      <c r="G14" s="6">
        <v>0.62</v>
      </c>
      <c r="H14" s="6">
        <f t="shared" si="0"/>
        <v>0.62</v>
      </c>
      <c r="J14" t="s">
        <v>339</v>
      </c>
      <c r="K14" t="s">
        <v>340</v>
      </c>
      <c r="L14" t="s">
        <v>344</v>
      </c>
      <c r="M14" t="s">
        <v>343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280</v>
      </c>
      <c r="B16" t="s">
        <v>46</v>
      </c>
      <c r="C16" t="s">
        <v>47</v>
      </c>
      <c r="D16" t="s">
        <v>281</v>
      </c>
      <c r="E16" s="7">
        <v>16</v>
      </c>
      <c r="F16" t="s">
        <v>282</v>
      </c>
      <c r="G16" s="6">
        <v>1.22</v>
      </c>
      <c r="H16" s="6">
        <f t="shared" si="0"/>
        <v>19.52</v>
      </c>
    </row>
    <row r="17" spans="1:11" ht="16" x14ac:dyDescent="0.2">
      <c r="A17" s="4" t="s">
        <v>352</v>
      </c>
      <c r="C17" t="s">
        <v>48</v>
      </c>
      <c r="D17" t="s">
        <v>353</v>
      </c>
      <c r="E17" s="7">
        <v>1</v>
      </c>
      <c r="F17" t="s">
        <v>351</v>
      </c>
      <c r="G17" s="6">
        <v>12.46</v>
      </c>
      <c r="H17" s="6">
        <f t="shared" si="0"/>
        <v>12.46</v>
      </c>
      <c r="J17" t="s">
        <v>407</v>
      </c>
      <c r="K17" t="s">
        <v>408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279</v>
      </c>
      <c r="E19" s="7">
        <v>1</v>
      </c>
      <c r="F19" t="s">
        <v>278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0.24</v>
      </c>
      <c r="H20" s="6">
        <f t="shared" si="0"/>
        <v>3.84</v>
      </c>
      <c r="I20" s="39" t="s">
        <v>425</v>
      </c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 t="s">
        <v>426</v>
      </c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349</v>
      </c>
      <c r="K22" t="s">
        <v>350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348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168</v>
      </c>
      <c r="K27" t="s">
        <v>347</v>
      </c>
    </row>
    <row r="28" spans="1:11" ht="16" x14ac:dyDescent="0.2">
      <c r="A28" s="40" t="s">
        <v>429</v>
      </c>
      <c r="B28" t="s">
        <v>95</v>
      </c>
      <c r="C28" t="s">
        <v>428</v>
      </c>
      <c r="D28" t="s">
        <v>345</v>
      </c>
      <c r="E28" s="7">
        <v>1</v>
      </c>
      <c r="F28" t="s">
        <v>346</v>
      </c>
      <c r="G28" s="6">
        <v>0.42</v>
      </c>
      <c r="H28" s="6">
        <f t="shared" si="0"/>
        <v>0.42</v>
      </c>
      <c r="I28" s="41" t="s">
        <v>427</v>
      </c>
      <c r="J28" t="s">
        <v>96</v>
      </c>
      <c r="K28" t="s">
        <v>97</v>
      </c>
    </row>
    <row r="29" spans="1:11" ht="16" x14ac:dyDescent="0.2">
      <c r="A29" s="4" t="s">
        <v>99</v>
      </c>
      <c r="B29" t="s">
        <v>100</v>
      </c>
      <c r="C29" t="s">
        <v>101</v>
      </c>
      <c r="D29" t="s">
        <v>98</v>
      </c>
      <c r="E29" s="7">
        <v>2</v>
      </c>
      <c r="F29" t="s">
        <v>401</v>
      </c>
      <c r="G29" s="6">
        <v>0.72</v>
      </c>
      <c r="H29" s="6">
        <f t="shared" si="0"/>
        <v>1.44</v>
      </c>
    </row>
    <row r="30" spans="1:11" ht="16" x14ac:dyDescent="0.2">
      <c r="A30" s="40" t="s">
        <v>437</v>
      </c>
      <c r="B30" t="s">
        <v>102</v>
      </c>
      <c r="C30" t="s">
        <v>72</v>
      </c>
      <c r="D30">
        <v>5033981892</v>
      </c>
      <c r="E30" s="7">
        <v>1</v>
      </c>
      <c r="F30" t="s">
        <v>438</v>
      </c>
      <c r="G30" s="6">
        <v>2.62</v>
      </c>
      <c r="H30" s="6">
        <f t="shared" si="0"/>
        <v>2.62</v>
      </c>
      <c r="I30" s="41" t="s">
        <v>421</v>
      </c>
    </row>
    <row r="31" spans="1:11" x14ac:dyDescent="0.2">
      <c r="A31" s="37" t="s">
        <v>422</v>
      </c>
      <c r="C31" t="s">
        <v>101</v>
      </c>
      <c r="D31" t="s">
        <v>423</v>
      </c>
      <c r="E31" s="7">
        <v>1</v>
      </c>
      <c r="F31" t="s">
        <v>424</v>
      </c>
      <c r="G31" s="6">
        <v>1.25</v>
      </c>
      <c r="H31" s="6">
        <f t="shared" si="0"/>
        <v>1.25</v>
      </c>
      <c r="I31" t="s">
        <v>421</v>
      </c>
    </row>
    <row r="32" spans="1:11" ht="16" x14ac:dyDescent="0.2">
      <c r="A32" s="4" t="s">
        <v>104</v>
      </c>
      <c r="B32" t="s">
        <v>103</v>
      </c>
      <c r="C32" t="s">
        <v>93</v>
      </c>
      <c r="D32" t="s">
        <v>404</v>
      </c>
      <c r="E32" s="7">
        <v>1</v>
      </c>
      <c r="F32" t="s">
        <v>403</v>
      </c>
      <c r="G32" s="6">
        <v>2.74</v>
      </c>
      <c r="H32" s="6">
        <f t="shared" si="0"/>
        <v>2.74</v>
      </c>
      <c r="J32" t="s">
        <v>406</v>
      </c>
      <c r="K32" t="s">
        <v>405</v>
      </c>
    </row>
    <row r="33" spans="1:9" ht="16" x14ac:dyDescent="0.2">
      <c r="A33" s="4" t="s">
        <v>121</v>
      </c>
      <c r="C33" t="s">
        <v>122</v>
      </c>
      <c r="D33">
        <v>8195</v>
      </c>
      <c r="E33" s="7">
        <v>16</v>
      </c>
      <c r="F33" t="s">
        <v>123</v>
      </c>
      <c r="G33" s="6">
        <v>0.18</v>
      </c>
      <c r="H33" s="6">
        <f t="shared" si="0"/>
        <v>2.88</v>
      </c>
    </row>
    <row r="34" spans="1:9" ht="16" x14ac:dyDescent="0.2">
      <c r="A34" s="4" t="s">
        <v>314</v>
      </c>
      <c r="B34" t="s">
        <v>124</v>
      </c>
      <c r="C34" t="s">
        <v>125</v>
      </c>
      <c r="D34" t="s">
        <v>126</v>
      </c>
      <c r="E34" s="7">
        <v>1</v>
      </c>
      <c r="F34" t="s">
        <v>127</v>
      </c>
      <c r="G34" s="6">
        <v>0.75</v>
      </c>
      <c r="H34" s="6">
        <f t="shared" si="0"/>
        <v>0.75</v>
      </c>
    </row>
    <row r="35" spans="1:9" ht="16" x14ac:dyDescent="0.2">
      <c r="A35" s="4" t="s">
        <v>311</v>
      </c>
      <c r="C35" t="s">
        <v>308</v>
      </c>
      <c r="D35" t="s">
        <v>312</v>
      </c>
      <c r="E35" s="7">
        <v>1</v>
      </c>
      <c r="F35" t="s">
        <v>313</v>
      </c>
      <c r="G35" s="6">
        <v>1.71</v>
      </c>
      <c r="H35" s="6">
        <f t="shared" si="0"/>
        <v>1.71</v>
      </c>
    </row>
    <row r="36" spans="1:9" ht="16" x14ac:dyDescent="0.2">
      <c r="A36" s="4" t="s">
        <v>129</v>
      </c>
      <c r="B36" t="s">
        <v>131</v>
      </c>
      <c r="C36" t="s">
        <v>60</v>
      </c>
      <c r="D36" t="s">
        <v>130</v>
      </c>
      <c r="E36" s="7">
        <v>1</v>
      </c>
      <c r="F36" s="22" t="s">
        <v>128</v>
      </c>
      <c r="G36" s="6">
        <v>0.64</v>
      </c>
      <c r="H36" s="6">
        <f t="shared" si="0"/>
        <v>0.64</v>
      </c>
    </row>
    <row r="37" spans="1:9" ht="16" x14ac:dyDescent="0.2">
      <c r="A37" s="4" t="s">
        <v>283</v>
      </c>
      <c r="B37" t="s">
        <v>284</v>
      </c>
      <c r="D37" s="21" t="s">
        <v>285</v>
      </c>
      <c r="E37" s="7">
        <v>1</v>
      </c>
      <c r="F37" s="21" t="s">
        <v>286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398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398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398</v>
      </c>
    </row>
    <row r="41" spans="1:9" x14ac:dyDescent="0.2">
      <c r="D41" s="21"/>
      <c r="F41" s="21"/>
    </row>
    <row r="42" spans="1:9" x14ac:dyDescent="0.2">
      <c r="G42" s="19" t="s">
        <v>119</v>
      </c>
      <c r="H42" s="19">
        <f>SUM(H3:H37)</f>
        <v>71.689999999999969</v>
      </c>
      <c r="I42" t="s">
        <v>120</v>
      </c>
    </row>
    <row r="43" spans="1:9" ht="16" x14ac:dyDescent="0.2">
      <c r="A43" s="10" t="s">
        <v>108</v>
      </c>
    </row>
    <row r="44" spans="1:9" ht="16" x14ac:dyDescent="0.2">
      <c r="A44" s="40" t="s">
        <v>109</v>
      </c>
      <c r="C44" t="s">
        <v>293</v>
      </c>
      <c r="D44" t="s">
        <v>430</v>
      </c>
      <c r="E44" s="7">
        <v>72</v>
      </c>
      <c r="F44" t="s">
        <v>431</v>
      </c>
      <c r="G44" s="12">
        <v>0.26</v>
      </c>
      <c r="H44" s="6">
        <f>E44*G44</f>
        <v>18.72</v>
      </c>
      <c r="I44" t="s">
        <v>432</v>
      </c>
    </row>
    <row r="45" spans="1:9" x14ac:dyDescent="0.2">
      <c r="E45" s="7" t="s">
        <v>433</v>
      </c>
      <c r="G45" s="42" t="s">
        <v>434</v>
      </c>
      <c r="H45" s="12"/>
    </row>
    <row r="54" spans="1:11" ht="30.5" customHeight="1" x14ac:dyDescent="0.2"/>
    <row r="56" spans="1:11" ht="20" x14ac:dyDescent="0.25">
      <c r="A56" s="13" t="s">
        <v>110</v>
      </c>
    </row>
    <row r="57" spans="1:11" ht="17.25" customHeight="1" x14ac:dyDescent="0.2">
      <c r="A57" s="4" t="s">
        <v>436</v>
      </c>
      <c r="C57" s="23" t="s">
        <v>411</v>
      </c>
      <c r="E57" s="7">
        <v>1</v>
      </c>
      <c r="G57" s="11">
        <v>45.2</v>
      </c>
      <c r="H57" s="11">
        <f>G57/3</f>
        <v>15.066666666666668</v>
      </c>
      <c r="I57" t="s">
        <v>118</v>
      </c>
    </row>
    <row r="58" spans="1:11" ht="28" customHeight="1" x14ac:dyDescent="0.2">
      <c r="A58" s="4" t="s">
        <v>409</v>
      </c>
      <c r="C58" s="23" t="s">
        <v>410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114</v>
      </c>
      <c r="G60" s="11"/>
    </row>
    <row r="61" spans="1:11" ht="16" x14ac:dyDescent="0.2">
      <c r="A61" s="4" t="s">
        <v>435</v>
      </c>
      <c r="C61" t="s">
        <v>319</v>
      </c>
      <c r="E61" s="7">
        <v>1</v>
      </c>
      <c r="G61" s="11">
        <v>20</v>
      </c>
      <c r="H61" s="11">
        <f>G61*0</f>
        <v>0</v>
      </c>
      <c r="I61" t="s">
        <v>117</v>
      </c>
    </row>
    <row r="62" spans="1:11" ht="16" x14ac:dyDescent="0.2">
      <c r="A62" s="4" t="s">
        <v>412</v>
      </c>
      <c r="C62" t="s">
        <v>319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105</v>
      </c>
      <c r="E64"/>
      <c r="F64" s="9" t="s">
        <v>327</v>
      </c>
    </row>
    <row r="65" spans="1:9" ht="48" x14ac:dyDescent="0.2">
      <c r="A65" s="4" t="s">
        <v>399</v>
      </c>
      <c r="E65" s="7">
        <v>1</v>
      </c>
      <c r="F65" s="36" t="s">
        <v>400</v>
      </c>
      <c r="G65" s="6">
        <v>9.99</v>
      </c>
      <c r="H65" s="6">
        <f>G65*E65</f>
        <v>9.99</v>
      </c>
    </row>
    <row r="66" spans="1:9" ht="16" x14ac:dyDescent="0.2">
      <c r="A66" s="4" t="s">
        <v>116</v>
      </c>
      <c r="E66" s="7">
        <v>1</v>
      </c>
      <c r="F66" s="4" t="s">
        <v>115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324</v>
      </c>
      <c r="H68" s="12">
        <f>SUM(H44:H66,H3:H37)</f>
        <v>130.45666666666665</v>
      </c>
    </row>
    <row r="69" spans="1:9" ht="20" x14ac:dyDescent="0.25">
      <c r="A69" s="13" t="s">
        <v>330</v>
      </c>
      <c r="E69"/>
    </row>
    <row r="70" spans="1:9" ht="16" x14ac:dyDescent="0.2">
      <c r="A70" t="s">
        <v>106</v>
      </c>
      <c r="E70" s="7">
        <v>1</v>
      </c>
      <c r="F70" s="4" t="s">
        <v>107</v>
      </c>
      <c r="G70" s="6">
        <v>44.22</v>
      </c>
      <c r="H70" s="12">
        <f>G70*0</f>
        <v>0</v>
      </c>
      <c r="I70" t="s">
        <v>117</v>
      </c>
    </row>
    <row r="71" spans="1:9" ht="16" x14ac:dyDescent="0.2">
      <c r="A71" s="4" t="s">
        <v>320</v>
      </c>
      <c r="C71" t="s">
        <v>332</v>
      </c>
      <c r="D71" t="s">
        <v>333</v>
      </c>
      <c r="E71" s="7">
        <v>1</v>
      </c>
      <c r="F71" t="s">
        <v>331</v>
      </c>
      <c r="G71" s="6">
        <v>64.5</v>
      </c>
      <c r="I71" t="s">
        <v>117</v>
      </c>
    </row>
    <row r="72" spans="1:9" ht="16" x14ac:dyDescent="0.2">
      <c r="A72" s="4" t="s">
        <v>325</v>
      </c>
      <c r="C72" t="s">
        <v>334</v>
      </c>
      <c r="D72" t="s">
        <v>335</v>
      </c>
      <c r="E72" s="7">
        <v>1</v>
      </c>
      <c r="F72" t="s">
        <v>328</v>
      </c>
      <c r="G72" s="6">
        <v>129.94999999999999</v>
      </c>
    </row>
    <row r="73" spans="1:9" ht="17" x14ac:dyDescent="0.25">
      <c r="A73" s="4" t="s">
        <v>326</v>
      </c>
      <c r="C73" t="s">
        <v>334</v>
      </c>
      <c r="D73" t="s">
        <v>336</v>
      </c>
      <c r="E73" s="7">
        <v>1</v>
      </c>
      <c r="F73" s="24" t="s">
        <v>329</v>
      </c>
      <c r="G73" s="6">
        <v>129</v>
      </c>
    </row>
    <row r="74" spans="1:9" x14ac:dyDescent="0.2">
      <c r="G74" s="19"/>
    </row>
    <row r="76" spans="1:9" ht="16" x14ac:dyDescent="0.2">
      <c r="A76" s="10" t="s">
        <v>288</v>
      </c>
      <c r="H76" s="12"/>
    </row>
    <row r="77" spans="1:9" ht="16" x14ac:dyDescent="0.2">
      <c r="A77" s="4" t="s">
        <v>292</v>
      </c>
      <c r="C77" t="s">
        <v>291</v>
      </c>
      <c r="D77" t="s">
        <v>290</v>
      </c>
      <c r="E77" s="7">
        <v>16</v>
      </c>
      <c r="F77" t="s">
        <v>289</v>
      </c>
      <c r="G77" s="6">
        <v>1.31</v>
      </c>
      <c r="H77" s="6">
        <f t="shared" ref="H77:H82" si="2">G77*E77</f>
        <v>20.96</v>
      </c>
    </row>
    <row r="78" spans="1:9" ht="16" x14ac:dyDescent="0.2">
      <c r="A78" s="4" t="s">
        <v>295</v>
      </c>
      <c r="C78" t="s">
        <v>294</v>
      </c>
      <c r="D78" t="s">
        <v>296</v>
      </c>
      <c r="E78" s="7">
        <v>1</v>
      </c>
      <c r="F78" t="s">
        <v>297</v>
      </c>
      <c r="G78" s="6">
        <v>18.28</v>
      </c>
      <c r="H78" s="6">
        <f t="shared" si="2"/>
        <v>18.28</v>
      </c>
    </row>
    <row r="79" spans="1:9" ht="16" x14ac:dyDescent="0.2">
      <c r="A79" s="4" t="s">
        <v>413</v>
      </c>
      <c r="C79" t="s">
        <v>298</v>
      </c>
      <c r="D79" t="s">
        <v>300</v>
      </c>
      <c r="E79" s="7">
        <v>1</v>
      </c>
      <c r="F79" t="s">
        <v>299</v>
      </c>
      <c r="G79" s="6">
        <v>10.81</v>
      </c>
      <c r="H79" s="6">
        <f t="shared" si="2"/>
        <v>10.81</v>
      </c>
    </row>
    <row r="80" spans="1:9" ht="32" x14ac:dyDescent="0.2">
      <c r="A80" s="4" t="s">
        <v>301</v>
      </c>
      <c r="C80" t="s">
        <v>298</v>
      </c>
      <c r="D80" t="s">
        <v>302</v>
      </c>
      <c r="E80" s="7">
        <v>1</v>
      </c>
      <c r="F80" t="s">
        <v>303</v>
      </c>
      <c r="G80" s="6">
        <v>7.8</v>
      </c>
      <c r="H80" s="6">
        <f t="shared" si="2"/>
        <v>7.8</v>
      </c>
    </row>
    <row r="81" spans="1:8" ht="16" x14ac:dyDescent="0.2">
      <c r="A81" s="4" t="s">
        <v>413</v>
      </c>
      <c r="C81" t="s">
        <v>416</v>
      </c>
      <c r="D81" t="s">
        <v>414</v>
      </c>
      <c r="E81">
        <v>1</v>
      </c>
      <c r="F81" t="s">
        <v>415</v>
      </c>
    </row>
    <row r="82" spans="1:8" ht="16" x14ac:dyDescent="0.2">
      <c r="A82" s="4" t="s">
        <v>315</v>
      </c>
      <c r="C82" t="s">
        <v>316</v>
      </c>
      <c r="D82" t="s">
        <v>317</v>
      </c>
      <c r="E82" s="7">
        <v>1</v>
      </c>
      <c r="F82" t="s">
        <v>318</v>
      </c>
      <c r="G82" s="6">
        <v>2.19</v>
      </c>
      <c r="H82" s="6">
        <f t="shared" si="2"/>
        <v>2.19</v>
      </c>
    </row>
    <row r="83" spans="1:8" ht="16" x14ac:dyDescent="0.2">
      <c r="A83" s="4" t="s">
        <v>307</v>
      </c>
      <c r="C83" t="s">
        <v>308</v>
      </c>
      <c r="D83" t="s">
        <v>309</v>
      </c>
      <c r="E83" s="7">
        <v>1</v>
      </c>
      <c r="F83" t="s">
        <v>310</v>
      </c>
      <c r="G83" s="6">
        <v>3.51</v>
      </c>
      <c r="H83" s="6">
        <f>G83*E83</f>
        <v>3.51</v>
      </c>
    </row>
    <row r="84" spans="1:8" ht="32" x14ac:dyDescent="0.2">
      <c r="A84" s="4" t="s">
        <v>418</v>
      </c>
      <c r="C84" t="s">
        <v>417</v>
      </c>
      <c r="D84" t="s">
        <v>417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</hyperlinks>
  <printOptions gridLines="1"/>
  <pageMargins left="0.7" right="0.7" top="0.75" bottom="0.75" header="0.3" footer="0.3"/>
  <pageSetup scale="47" orientation="landscape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topLeftCell="A10"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192</v>
      </c>
      <c r="B1" s="20" t="s">
        <v>193</v>
      </c>
      <c r="C1" s="15" t="s">
        <v>195</v>
      </c>
      <c r="D1" s="15" t="s">
        <v>136</v>
      </c>
    </row>
    <row r="2" spans="1:4" x14ac:dyDescent="0.2">
      <c r="A2" s="7">
        <v>1</v>
      </c>
      <c r="B2" s="7" t="s">
        <v>194</v>
      </c>
      <c r="C2" t="s">
        <v>196</v>
      </c>
      <c r="D2" t="s">
        <v>249</v>
      </c>
    </row>
    <row r="3" spans="1:4" x14ac:dyDescent="0.2">
      <c r="A3" s="7">
        <v>2</v>
      </c>
      <c r="B3" s="7" t="s">
        <v>198</v>
      </c>
      <c r="C3" t="s">
        <v>197</v>
      </c>
      <c r="D3" t="s">
        <v>269</v>
      </c>
    </row>
    <row r="4" spans="1:4" x14ac:dyDescent="0.2">
      <c r="A4" s="7">
        <v>3</v>
      </c>
      <c r="B4" s="7" t="s">
        <v>199</v>
      </c>
      <c r="C4" t="s">
        <v>199</v>
      </c>
      <c r="D4" t="s">
        <v>251</v>
      </c>
    </row>
    <row r="5" spans="1:4" x14ac:dyDescent="0.2">
      <c r="A5" s="7">
        <v>4</v>
      </c>
      <c r="B5" s="7" t="s">
        <v>200</v>
      </c>
      <c r="C5" t="s">
        <v>200</v>
      </c>
      <c r="D5" t="s">
        <v>252</v>
      </c>
    </row>
    <row r="6" spans="1:4" x14ac:dyDescent="0.2">
      <c r="A6" s="7">
        <v>5</v>
      </c>
      <c r="B6" s="7" t="s">
        <v>199</v>
      </c>
      <c r="C6" t="s">
        <v>199</v>
      </c>
      <c r="D6" t="s">
        <v>251</v>
      </c>
    </row>
    <row r="7" spans="1:4" x14ac:dyDescent="0.2">
      <c r="A7" s="7">
        <v>6</v>
      </c>
      <c r="B7" s="7" t="s">
        <v>200</v>
      </c>
      <c r="C7" t="s">
        <v>200</v>
      </c>
      <c r="D7" t="s">
        <v>252</v>
      </c>
    </row>
    <row r="8" spans="1:4" x14ac:dyDescent="0.2">
      <c r="A8" s="7">
        <v>7</v>
      </c>
      <c r="B8" s="7" t="s">
        <v>201</v>
      </c>
      <c r="C8" t="s">
        <v>202</v>
      </c>
      <c r="D8" t="s">
        <v>253</v>
      </c>
    </row>
    <row r="9" spans="1:4" x14ac:dyDescent="0.2">
      <c r="A9" s="7">
        <v>8</v>
      </c>
      <c r="B9" s="7" t="s">
        <v>203</v>
      </c>
      <c r="C9" t="s">
        <v>204</v>
      </c>
      <c r="D9" t="s">
        <v>254</v>
      </c>
    </row>
    <row r="10" spans="1:4" x14ac:dyDescent="0.2">
      <c r="A10" s="7">
        <v>9</v>
      </c>
      <c r="B10" s="7" t="s">
        <v>205</v>
      </c>
      <c r="C10" t="s">
        <v>206</v>
      </c>
      <c r="D10" t="s">
        <v>255</v>
      </c>
    </row>
    <row r="11" spans="1:4" x14ac:dyDescent="0.2">
      <c r="A11" s="7">
        <v>10</v>
      </c>
      <c r="B11" s="7" t="s">
        <v>207</v>
      </c>
      <c r="C11" t="s">
        <v>208</v>
      </c>
      <c r="D11" t="s">
        <v>256</v>
      </c>
    </row>
    <row r="12" spans="1:4" x14ac:dyDescent="0.2">
      <c r="A12" s="7">
        <v>11</v>
      </c>
      <c r="B12" s="7" t="s">
        <v>210</v>
      </c>
      <c r="C12" t="s">
        <v>209</v>
      </c>
      <c r="D12" t="s">
        <v>257</v>
      </c>
    </row>
    <row r="13" spans="1:4" x14ac:dyDescent="0.2">
      <c r="A13" s="7">
        <v>12</v>
      </c>
      <c r="B13" s="7" t="s">
        <v>211</v>
      </c>
      <c r="C13" t="s">
        <v>212</v>
      </c>
      <c r="D13" t="s">
        <v>258</v>
      </c>
    </row>
    <row r="14" spans="1:4" x14ac:dyDescent="0.2">
      <c r="A14" s="7">
        <v>13</v>
      </c>
      <c r="B14" s="7" t="s">
        <v>213</v>
      </c>
      <c r="C14" t="s">
        <v>214</v>
      </c>
      <c r="D14" t="s">
        <v>259</v>
      </c>
    </row>
    <row r="15" spans="1:4" x14ac:dyDescent="0.2">
      <c r="A15" s="7">
        <v>14</v>
      </c>
      <c r="B15" s="7" t="s">
        <v>215</v>
      </c>
      <c r="C15" t="s">
        <v>216</v>
      </c>
      <c r="D15" t="s">
        <v>260</v>
      </c>
    </row>
    <row r="16" spans="1:4" x14ac:dyDescent="0.2">
      <c r="A16" s="7">
        <v>15</v>
      </c>
      <c r="B16" s="7" t="s">
        <v>217</v>
      </c>
      <c r="C16" t="s">
        <v>218</v>
      </c>
      <c r="D16" t="s">
        <v>277</v>
      </c>
    </row>
    <row r="17" spans="1:4" x14ac:dyDescent="0.2">
      <c r="A17" s="7">
        <v>16</v>
      </c>
      <c r="B17" s="7" t="s">
        <v>219</v>
      </c>
      <c r="C17" t="s">
        <v>220</v>
      </c>
      <c r="D17" t="s">
        <v>261</v>
      </c>
    </row>
    <row r="18" spans="1:4" x14ac:dyDescent="0.2">
      <c r="A18" s="7">
        <v>17</v>
      </c>
      <c r="B18" s="7" t="s">
        <v>221</v>
      </c>
      <c r="C18" t="s">
        <v>222</v>
      </c>
      <c r="D18" t="s">
        <v>276</v>
      </c>
    </row>
    <row r="19" spans="1:4" x14ac:dyDescent="0.2">
      <c r="A19" s="7">
        <v>18</v>
      </c>
      <c r="B19" s="7" t="s">
        <v>223</v>
      </c>
      <c r="C19" t="s">
        <v>223</v>
      </c>
      <c r="D19" t="s">
        <v>262</v>
      </c>
    </row>
    <row r="20" spans="1:4" x14ac:dyDescent="0.2">
      <c r="A20" s="7">
        <v>19</v>
      </c>
      <c r="B20" s="7" t="s">
        <v>224</v>
      </c>
      <c r="C20" t="s">
        <v>225</v>
      </c>
      <c r="D20" t="s">
        <v>263</v>
      </c>
    </row>
    <row r="21" spans="1:4" x14ac:dyDescent="0.2">
      <c r="A21" s="7">
        <v>20</v>
      </c>
      <c r="B21" s="7" t="s">
        <v>226</v>
      </c>
      <c r="C21" t="s">
        <v>226</v>
      </c>
      <c r="D21" t="s">
        <v>264</v>
      </c>
    </row>
    <row r="22" spans="1:4" x14ac:dyDescent="0.2">
      <c r="A22" s="7">
        <v>21</v>
      </c>
      <c r="B22" s="7" t="s">
        <v>227</v>
      </c>
      <c r="C22" t="s">
        <v>227</v>
      </c>
      <c r="D22" t="s">
        <v>265</v>
      </c>
    </row>
    <row r="23" spans="1:4" x14ac:dyDescent="0.2">
      <c r="A23" s="7">
        <v>22</v>
      </c>
      <c r="B23" s="7" t="s">
        <v>228</v>
      </c>
      <c r="C23" t="s">
        <v>229</v>
      </c>
      <c r="D23" t="s">
        <v>266</v>
      </c>
    </row>
    <row r="24" spans="1:4" x14ac:dyDescent="0.2">
      <c r="A24" s="7">
        <v>23</v>
      </c>
      <c r="B24" s="7" t="s">
        <v>230</v>
      </c>
      <c r="C24" t="s">
        <v>231</v>
      </c>
      <c r="D24" t="s">
        <v>267</v>
      </c>
    </row>
    <row r="25" spans="1:4" x14ac:dyDescent="0.2">
      <c r="A25" s="7">
        <v>24</v>
      </c>
      <c r="B25" s="7" t="s">
        <v>232</v>
      </c>
      <c r="C25" t="s">
        <v>233</v>
      </c>
      <c r="D25" t="s">
        <v>275</v>
      </c>
    </row>
    <row r="26" spans="1:4" x14ac:dyDescent="0.2">
      <c r="A26" s="7">
        <v>25</v>
      </c>
      <c r="B26" s="7" t="s">
        <v>234</v>
      </c>
      <c r="C26" t="s">
        <v>235</v>
      </c>
      <c r="D26" t="s">
        <v>274</v>
      </c>
    </row>
    <row r="27" spans="1:4" x14ac:dyDescent="0.2">
      <c r="A27" s="7">
        <v>26</v>
      </c>
      <c r="B27" s="7" t="s">
        <v>236</v>
      </c>
      <c r="C27" t="s">
        <v>237</v>
      </c>
      <c r="D27" t="s">
        <v>268</v>
      </c>
    </row>
    <row r="28" spans="1:4" x14ac:dyDescent="0.2">
      <c r="A28" s="7">
        <v>27</v>
      </c>
      <c r="B28" s="7" t="s">
        <v>238</v>
      </c>
      <c r="C28" t="s">
        <v>239</v>
      </c>
      <c r="D28" t="s">
        <v>270</v>
      </c>
    </row>
    <row r="29" spans="1:4" x14ac:dyDescent="0.2">
      <c r="A29" s="7">
        <v>28</v>
      </c>
      <c r="B29" s="7" t="s">
        <v>240</v>
      </c>
      <c r="C29" t="s">
        <v>241</v>
      </c>
      <c r="D29" t="s">
        <v>271</v>
      </c>
    </row>
    <row r="30" spans="1:4" x14ac:dyDescent="0.2">
      <c r="A30" s="7">
        <v>29</v>
      </c>
      <c r="B30" s="7" t="s">
        <v>242</v>
      </c>
      <c r="C30" t="s">
        <v>181</v>
      </c>
      <c r="D30" t="s">
        <v>272</v>
      </c>
    </row>
    <row r="31" spans="1:4" x14ac:dyDescent="0.2">
      <c r="A31" s="7">
        <v>30</v>
      </c>
      <c r="B31" s="7" t="s">
        <v>243</v>
      </c>
      <c r="C31" t="s">
        <v>244</v>
      </c>
      <c r="D31" t="s">
        <v>273</v>
      </c>
    </row>
    <row r="32" spans="1:4" x14ac:dyDescent="0.2">
      <c r="A32" s="7">
        <v>31</v>
      </c>
      <c r="B32" s="7" t="s">
        <v>245</v>
      </c>
      <c r="C32" t="s">
        <v>246</v>
      </c>
      <c r="D32" t="s">
        <v>273</v>
      </c>
    </row>
    <row r="33" spans="1:4" x14ac:dyDescent="0.2">
      <c r="A33" s="7">
        <v>32</v>
      </c>
      <c r="B33" s="7" t="s">
        <v>247</v>
      </c>
      <c r="C33" t="s">
        <v>248</v>
      </c>
      <c r="D33" t="s">
        <v>250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354</v>
      </c>
      <c r="B1" s="26" t="s">
        <v>135</v>
      </c>
      <c r="C1" s="33" t="s">
        <v>355</v>
      </c>
      <c r="D1" s="26" t="s">
        <v>356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  <c r="N1" t="s">
        <v>145</v>
      </c>
      <c r="O1" t="s">
        <v>146</v>
      </c>
    </row>
    <row r="2" spans="1:15" ht="48" x14ac:dyDescent="0.2">
      <c r="A2" s="31" t="s">
        <v>357</v>
      </c>
      <c r="B2" s="28" t="s">
        <v>358</v>
      </c>
      <c r="C2" s="34">
        <v>28</v>
      </c>
      <c r="D2" s="28" t="s">
        <v>377</v>
      </c>
    </row>
    <row r="3" spans="1:15" x14ac:dyDescent="0.2">
      <c r="A3" s="27" t="s">
        <v>321</v>
      </c>
      <c r="B3" s="28" t="s">
        <v>358</v>
      </c>
      <c r="C3" s="34">
        <v>1</v>
      </c>
      <c r="D3" s="28" t="s">
        <v>391</v>
      </c>
    </row>
    <row r="4" spans="1:15" x14ac:dyDescent="0.2">
      <c r="A4" s="29" t="s">
        <v>363</v>
      </c>
      <c r="B4" s="30" t="s">
        <v>154</v>
      </c>
      <c r="C4" s="35">
        <v>2</v>
      </c>
      <c r="D4" s="30" t="s">
        <v>382</v>
      </c>
    </row>
    <row r="5" spans="1:15" x14ac:dyDescent="0.2">
      <c r="A5" s="29" t="s">
        <v>368</v>
      </c>
      <c r="B5" s="30" t="s">
        <v>178</v>
      </c>
      <c r="C5" s="35">
        <v>2</v>
      </c>
      <c r="D5" s="30" t="s">
        <v>386</v>
      </c>
    </row>
    <row r="6" spans="1:15" x14ac:dyDescent="0.2">
      <c r="A6" s="29" t="s">
        <v>369</v>
      </c>
      <c r="B6" s="30" t="s">
        <v>178</v>
      </c>
      <c r="C6" s="35">
        <v>2</v>
      </c>
      <c r="D6" s="30" t="s">
        <v>388</v>
      </c>
    </row>
    <row r="7" spans="1:15" x14ac:dyDescent="0.2">
      <c r="A7" s="27" t="s">
        <v>180</v>
      </c>
      <c r="B7" s="28" t="s">
        <v>178</v>
      </c>
      <c r="C7" s="34">
        <v>1</v>
      </c>
      <c r="D7" s="28" t="s">
        <v>390</v>
      </c>
    </row>
    <row r="8" spans="1:15" ht="32" x14ac:dyDescent="0.2">
      <c r="A8" s="32" t="s">
        <v>359</v>
      </c>
      <c r="B8" s="30" t="s">
        <v>178</v>
      </c>
      <c r="C8" s="35">
        <v>24</v>
      </c>
      <c r="D8" s="30" t="s">
        <v>378</v>
      </c>
    </row>
    <row r="9" spans="1:15" x14ac:dyDescent="0.2">
      <c r="A9" s="29" t="s">
        <v>366</v>
      </c>
      <c r="B9" s="30" t="s">
        <v>178</v>
      </c>
      <c r="C9" s="35">
        <v>4</v>
      </c>
      <c r="D9" s="30" t="s">
        <v>378</v>
      </c>
    </row>
    <row r="10" spans="1:15" x14ac:dyDescent="0.2">
      <c r="A10" s="29" t="s">
        <v>179</v>
      </c>
      <c r="B10" s="30" t="s">
        <v>178</v>
      </c>
      <c r="C10" s="35">
        <v>1</v>
      </c>
      <c r="D10" s="30" t="s">
        <v>378</v>
      </c>
    </row>
    <row r="11" spans="1:15" x14ac:dyDescent="0.2">
      <c r="A11" s="27" t="s">
        <v>365</v>
      </c>
      <c r="B11" s="28" t="s">
        <v>178</v>
      </c>
      <c r="C11" s="34">
        <v>3</v>
      </c>
      <c r="D11" s="28" t="s">
        <v>385</v>
      </c>
    </row>
    <row r="12" spans="1:15" x14ac:dyDescent="0.2">
      <c r="A12" s="27" t="s">
        <v>176</v>
      </c>
      <c r="B12" s="28" t="s">
        <v>171</v>
      </c>
      <c r="C12" s="34">
        <v>1</v>
      </c>
      <c r="D12" s="28" t="s">
        <v>379</v>
      </c>
    </row>
    <row r="13" spans="1:15" x14ac:dyDescent="0.2">
      <c r="A13" s="29" t="s">
        <v>167</v>
      </c>
      <c r="B13" s="30" t="s">
        <v>169</v>
      </c>
      <c r="C13" s="35">
        <v>1</v>
      </c>
      <c r="D13" s="30" t="s">
        <v>380</v>
      </c>
    </row>
    <row r="14" spans="1:15" x14ac:dyDescent="0.2">
      <c r="A14" s="27" t="s">
        <v>360</v>
      </c>
      <c r="B14" s="28" t="s">
        <v>148</v>
      </c>
      <c r="C14" s="34">
        <v>2</v>
      </c>
      <c r="D14" s="28" t="s">
        <v>147</v>
      </c>
    </row>
    <row r="15" spans="1:15" ht="48" x14ac:dyDescent="0.2">
      <c r="A15" s="32" t="s">
        <v>361</v>
      </c>
      <c r="B15" s="30" t="s">
        <v>157</v>
      </c>
      <c r="C15" s="35">
        <v>16</v>
      </c>
      <c r="D15" s="30" t="s">
        <v>381</v>
      </c>
    </row>
    <row r="16" spans="1:15" x14ac:dyDescent="0.2">
      <c r="A16" s="27" t="s">
        <v>362</v>
      </c>
      <c r="B16" s="28" t="s">
        <v>183</v>
      </c>
      <c r="C16" s="34">
        <v>2</v>
      </c>
      <c r="D16" s="28" t="s">
        <v>182</v>
      </c>
    </row>
    <row r="17" spans="1:4" x14ac:dyDescent="0.2">
      <c r="A17" s="27" t="s">
        <v>186</v>
      </c>
      <c r="B17" s="28" t="s">
        <v>188</v>
      </c>
      <c r="C17" s="34">
        <v>1</v>
      </c>
      <c r="D17" s="28" t="s">
        <v>187</v>
      </c>
    </row>
    <row r="18" spans="1:4" x14ac:dyDescent="0.2">
      <c r="A18" s="27" t="s">
        <v>158</v>
      </c>
      <c r="B18" s="28" t="s">
        <v>159</v>
      </c>
      <c r="C18" s="34">
        <v>1</v>
      </c>
      <c r="D18" s="28" t="s">
        <v>383</v>
      </c>
    </row>
    <row r="19" spans="1:4" x14ac:dyDescent="0.2">
      <c r="A19" s="29" t="s">
        <v>181</v>
      </c>
      <c r="B19" s="30" t="s">
        <v>364</v>
      </c>
      <c r="C19" s="35">
        <v>1</v>
      </c>
      <c r="D19" s="30" t="s">
        <v>322</v>
      </c>
    </row>
    <row r="20" spans="1:4" x14ac:dyDescent="0.2">
      <c r="A20" s="27" t="s">
        <v>151</v>
      </c>
      <c r="B20" s="28" t="s">
        <v>153</v>
      </c>
      <c r="C20" s="34">
        <v>1</v>
      </c>
      <c r="D20" s="28" t="s">
        <v>152</v>
      </c>
    </row>
    <row r="21" spans="1:4" x14ac:dyDescent="0.2">
      <c r="A21" s="27" t="s">
        <v>164</v>
      </c>
      <c r="B21" s="28" t="s">
        <v>165</v>
      </c>
      <c r="C21" s="34">
        <v>1</v>
      </c>
      <c r="D21" s="28" t="s">
        <v>395</v>
      </c>
    </row>
    <row r="22" spans="1:4" x14ac:dyDescent="0.2">
      <c r="A22" s="29" t="s">
        <v>166</v>
      </c>
      <c r="B22" s="30" t="s">
        <v>165</v>
      </c>
      <c r="C22" s="35">
        <v>1</v>
      </c>
      <c r="D22" s="30" t="s">
        <v>396</v>
      </c>
    </row>
    <row r="23" spans="1:4" x14ac:dyDescent="0.2">
      <c r="A23" s="27" t="s">
        <v>160</v>
      </c>
      <c r="B23" s="28" t="s">
        <v>161</v>
      </c>
      <c r="C23" s="34">
        <v>1</v>
      </c>
      <c r="D23" s="28" t="s">
        <v>384</v>
      </c>
    </row>
    <row r="24" spans="1:4" x14ac:dyDescent="0.2">
      <c r="A24" s="27" t="s">
        <v>367</v>
      </c>
      <c r="B24" s="28" t="s">
        <v>156</v>
      </c>
      <c r="C24" s="34">
        <v>1</v>
      </c>
      <c r="D24" s="28" t="s">
        <v>155</v>
      </c>
    </row>
    <row r="25" spans="1:4" x14ac:dyDescent="0.2">
      <c r="A25" s="27" t="s">
        <v>162</v>
      </c>
      <c r="B25" s="28" t="s">
        <v>163</v>
      </c>
      <c r="C25" s="34">
        <v>1</v>
      </c>
      <c r="D25" s="28" t="s">
        <v>387</v>
      </c>
    </row>
    <row r="26" spans="1:4" x14ac:dyDescent="0.2">
      <c r="A26" s="27" t="s">
        <v>370</v>
      </c>
      <c r="B26" s="28" t="s">
        <v>73</v>
      </c>
      <c r="C26" s="34">
        <v>1</v>
      </c>
      <c r="D26" s="28" t="s">
        <v>371</v>
      </c>
    </row>
    <row r="27" spans="1:4" x14ac:dyDescent="0.2">
      <c r="A27" s="29" t="s">
        <v>184</v>
      </c>
      <c r="B27" s="30" t="s">
        <v>185</v>
      </c>
      <c r="C27" s="35">
        <v>1</v>
      </c>
      <c r="D27" s="30" t="s">
        <v>389</v>
      </c>
    </row>
    <row r="28" spans="1:4" x14ac:dyDescent="0.2">
      <c r="A28" s="29" t="s">
        <v>372</v>
      </c>
      <c r="B28" s="30" t="s">
        <v>150</v>
      </c>
      <c r="C28" s="35">
        <v>1</v>
      </c>
      <c r="D28" s="30" t="s">
        <v>149</v>
      </c>
    </row>
    <row r="29" spans="1:4" x14ac:dyDescent="0.2">
      <c r="A29" s="29" t="s">
        <v>373</v>
      </c>
      <c r="B29" s="30" t="s">
        <v>374</v>
      </c>
      <c r="C29" s="35">
        <v>1</v>
      </c>
      <c r="D29" s="30" t="s">
        <v>392</v>
      </c>
    </row>
    <row r="30" spans="1:4" x14ac:dyDescent="0.2">
      <c r="A30" s="29" t="s">
        <v>375</v>
      </c>
      <c r="B30" s="30" t="s">
        <v>376</v>
      </c>
      <c r="C30" s="35">
        <v>1</v>
      </c>
      <c r="D30" s="30" t="s">
        <v>394</v>
      </c>
    </row>
    <row r="31" spans="1:4" x14ac:dyDescent="0.2">
      <c r="A31" s="27" t="s">
        <v>174</v>
      </c>
      <c r="B31" s="28" t="s">
        <v>175</v>
      </c>
      <c r="C31" s="34">
        <v>1</v>
      </c>
      <c r="D31" s="28" t="s">
        <v>393</v>
      </c>
    </row>
    <row r="32" spans="1:4" x14ac:dyDescent="0.2">
      <c r="A32" s="29" t="s">
        <v>189</v>
      </c>
      <c r="B32" s="30" t="s">
        <v>191</v>
      </c>
      <c r="C32" s="35">
        <v>1</v>
      </c>
      <c r="D32" s="30" t="s">
        <v>190</v>
      </c>
    </row>
    <row r="78" spans="6:13" x14ac:dyDescent="0.2">
      <c r="G78" t="s">
        <v>168</v>
      </c>
      <c r="H78">
        <v>1296592</v>
      </c>
      <c r="I78" t="s">
        <v>170</v>
      </c>
      <c r="J78" t="s">
        <v>171</v>
      </c>
      <c r="M78" t="s">
        <v>93</v>
      </c>
    </row>
    <row r="79" spans="6:13" x14ac:dyDescent="0.2">
      <c r="F79" t="s">
        <v>172</v>
      </c>
      <c r="G79" t="s">
        <v>73</v>
      </c>
      <c r="H79">
        <v>1462926</v>
      </c>
      <c r="I79" t="s">
        <v>173</v>
      </c>
    </row>
    <row r="81" spans="11:11" x14ac:dyDescent="0.2">
      <c r="K81" t="s">
        <v>177</v>
      </c>
    </row>
    <row r="126" spans="14:14" x14ac:dyDescent="0.2">
      <c r="N126" t="s">
        <v>190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2026-05-08T22:25:39Z</dcterms:modified>
</cp:coreProperties>
</file>
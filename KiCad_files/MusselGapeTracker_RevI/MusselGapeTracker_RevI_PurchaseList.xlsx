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/Documents/GitHub/MusselGapeTracker_hardware/KiCad_files/MusselGapeTracker_RevI/"/>
    </mc:Choice>
  </mc:AlternateContent>
  <xr:revisionPtr revIDLastSave="0" documentId="13_ncr:1_{474AA497-80AC-A044-BDC9-BFE30F811261}" xr6:coauthVersionLast="47" xr6:coauthVersionMax="47" xr10:uidLastSave="{00000000-0000-0000-0000-000000000000}"/>
  <bookViews>
    <workbookView xWindow="1680" yWindow="1020" windowWidth="27640" windowHeight="16680" xr2:uid="{E7DEF6FF-2B66-CB45-A28F-80AEC1E726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9" i="1" l="1"/>
  <c r="E73" i="1"/>
  <c r="E49" i="1"/>
  <c r="E48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</calcChain>
</file>

<file path=xl/sharedStrings.xml><?xml version="1.0" encoding="utf-8"?>
<sst xmlns="http://schemas.openxmlformats.org/spreadsheetml/2006/main" count="99" uniqueCount="96">
  <si>
    <t xml:space="preserve">MusselGapeTracker RevI Purchase List </t>
  </si>
  <si>
    <t>Part Description</t>
  </si>
  <si>
    <t>Digikey</t>
  </si>
  <si>
    <t>Capacitor, surface mount 1uF 35V, electrolytic, Panasonic FC series, size code B</t>
  </si>
  <si>
    <t>Capacitor, 0603 0.1µF 16V ceramic</t>
  </si>
  <si>
    <t>Capacitor, 0603 4.7µF 10V ceramic</t>
  </si>
  <si>
    <t>Capacitor, 0603 10µF X5R</t>
  </si>
  <si>
    <t>Resistor, 0603 100ohm</t>
  </si>
  <si>
    <t>Resistor, 0603 4.7k ohm</t>
  </si>
  <si>
    <t>Resistor, 0603 10 k ohm</t>
  </si>
  <si>
    <t xml:space="preserve">Resistor, 0603 15 k ohm </t>
  </si>
  <si>
    <t xml:space="preserve">Resistor, 0603 100 k ohm </t>
  </si>
  <si>
    <t>LED, Red 0805</t>
  </si>
  <si>
    <t>LED, Green 0805</t>
  </si>
  <si>
    <t>BJT NPN Transistor 50V 2A SOT23-3 package</t>
  </si>
  <si>
    <t>Pushbutton switch SPST tactile, SMD</t>
  </si>
  <si>
    <t>Hall effect sensor, Allegro A1395</t>
  </si>
  <si>
    <t>Real Time Clock, DS3231SN#  SO-16 footprint</t>
  </si>
  <si>
    <t>CR1220 Battery holder</t>
  </si>
  <si>
    <t>CR1220 Battery, lithium</t>
  </si>
  <si>
    <t>JST 4-pin connector, male board mount, through hole</t>
  </si>
  <si>
    <t>JST 4-pin connector housing, female</t>
  </si>
  <si>
    <t>JST crimp-on female connector 24-30AWG</t>
  </si>
  <si>
    <t>4x1 Pin header, female, through hole</t>
  </si>
  <si>
    <t>40x1 Pin header, male breakaway</t>
  </si>
  <si>
    <t>Inductor, 10µH 150mA, 360 mOhm</t>
  </si>
  <si>
    <t>3x2 Pin header</t>
  </si>
  <si>
    <t>Voltage regulator MCP-1700T-3002 3.0V (or 3.3V version)</t>
  </si>
  <si>
    <t>P-Channel 20 V 6A (Ta) 1W (Ta) Surface Mount SOT-23F</t>
  </si>
  <si>
    <t>Shift register 74HC595D</t>
  </si>
  <si>
    <t>MicroSD card slot 5033981892</t>
  </si>
  <si>
    <t>CD74HC4067PWR multiplexer 16 channel (24-TSSOP 4.4x7.8mm, 0.65mm pitch)</t>
  </si>
  <si>
    <t>ATmega328P 32-TQFP</t>
  </si>
  <si>
    <t>Magnet 0.25"diam x 0.063" thick</t>
  </si>
  <si>
    <t>2.10mm male board-mount Power Barrel jack</t>
  </si>
  <si>
    <t>2.10mm ID x 5.50mm OD Power Barrel Connector</t>
  </si>
  <si>
    <t>6x1 Female Pin header, right angle through hole 0.1"</t>
  </si>
  <si>
    <t>pushbutton surface mount (small, 1.5mm height)</t>
  </si>
  <si>
    <t>2x1 Molex KK male connector, through hole</t>
  </si>
  <si>
    <t>2x1 Molex KK female connector</t>
  </si>
  <si>
    <t>Molex KK crimp-on connector, 24-30AWG</t>
  </si>
  <si>
    <t>PCE4024CT-ND</t>
  </si>
  <si>
    <t>399-1096-1-ND</t>
  </si>
  <si>
    <t>399-9100-1-ND</t>
  </si>
  <si>
    <t>311-3486-2-ND</t>
  </si>
  <si>
    <t>311-100GRCT-ND</t>
  </si>
  <si>
    <t>311-4.7KGRCT-ND</t>
  </si>
  <si>
    <t>311-10KGRCT-ND</t>
  </si>
  <si>
    <t>311-15KGRCT-ND</t>
  </si>
  <si>
    <t>311-100KGRCT-ND</t>
  </si>
  <si>
    <t>160-1427-1-ND</t>
  </si>
  <si>
    <t>160-1423-1-ND</t>
  </si>
  <si>
    <t>FMMT619CT-ND</t>
  </si>
  <si>
    <t>SW836CT-ND</t>
  </si>
  <si>
    <t>620-1173-6-ND</t>
  </si>
  <si>
    <t>DS3231SN#-ND</t>
  </si>
  <si>
    <t>36-3000-ND</t>
  </si>
  <si>
    <t>P033-ND</t>
  </si>
  <si>
    <t>455-1706-ND</t>
  </si>
  <si>
    <t>455-1164-ND</t>
  </si>
  <si>
    <t>455-1127-1-ND</t>
  </si>
  <si>
    <t>S7002-ND</t>
  </si>
  <si>
    <t>S1011EC-40-ND</t>
  </si>
  <si>
    <t>587-2045-1-ND</t>
  </si>
  <si>
    <t>WM8139-ND</t>
  </si>
  <si>
    <t>MCP1700T-3002E/TTCT-ND</t>
  </si>
  <si>
    <t>SSM3J328RLFCT-ND</t>
  </si>
  <si>
    <t>296-31822-1-ND</t>
  </si>
  <si>
    <t>WM11190CT-ND</t>
  </si>
  <si>
    <t>296-CD74HC4067PWRCT-ND</t>
  </si>
  <si>
    <t>ATMEGA328P-AURCT-ND</t>
  </si>
  <si>
    <t>469-1005-ND</t>
  </si>
  <si>
    <t>CP-202AH-ND</t>
  </si>
  <si>
    <t>EP501A-ND</t>
  </si>
  <si>
    <t>S5481-ND</t>
  </si>
  <si>
    <t>CKN9104CT-ND</t>
  </si>
  <si>
    <t>WM4200-ND</t>
  </si>
  <si>
    <t>WM2601-ND</t>
  </si>
  <si>
    <t>WM5268-ND</t>
  </si>
  <si>
    <t>Quantity (for 1 board)</t>
  </si>
  <si>
    <t>Digikey PN</t>
  </si>
  <si>
    <t>Digikey $</t>
  </si>
  <si>
    <t>Extended $</t>
  </si>
  <si>
    <t>Purchase Link</t>
  </si>
  <si>
    <t>One Board Supplies</t>
  </si>
  <si>
    <t>Amazon</t>
  </si>
  <si>
    <t>Diymall 0.96" Inch I2c IIC Serial 128x64 Oled LCD LED White Display Module (GND on Pin 1)</t>
  </si>
  <si>
    <t>https://www.amazon.com/gp/product/B076PDVFQD/</t>
  </si>
  <si>
    <t>http://a.co/8pYRSXH</t>
  </si>
  <si>
    <t>micro SD card, 16GB</t>
  </si>
  <si>
    <t>One Time Purchase Supplies</t>
  </si>
  <si>
    <t>Engineer PA-09 crimping pliers</t>
  </si>
  <si>
    <t>http://a.co/9MNSbOH</t>
  </si>
  <si>
    <t>OSH Park</t>
  </si>
  <si>
    <t>4-conductor cable USB-2.0 28gauge 0.150" diameter</t>
  </si>
  <si>
    <t>CN306-100-ND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</si>
</sst>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charset val="1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1" xfId="0" applyBorder="1" applyAlignment="1">
      <alignment horizontal="center"/>
    </xf>
    <xf numFmtId="44" fontId="0" fillId="0" borderId="1" xfId="1" applyFont="1" applyBorder="1"/>
    <xf numFmtId="44" fontId="0" fillId="0" borderId="0" xfId="1" applyFont="1"/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44" fontId="6" fillId="0" borderId="1" xfId="1" applyFont="1" applyBorder="1"/>
    <xf numFmtId="44" fontId="6" fillId="0" borderId="0" xfId="1" applyFont="1"/>
    <xf numFmtId="0" fontId="7" fillId="0" borderId="0" xfId="2" applyAlignment="1">
      <alignment wrapText="1"/>
    </xf>
    <xf numFmtId="0" fontId="7" fillId="0" borderId="0" xfId="2"/>
    <xf numFmtId="49" fontId="3" fillId="0" borderId="0" xfId="0" applyNumberFormat="1" applyFont="1" applyFill="1" applyAlignment="1">
      <alignment wrapText="1"/>
    </xf>
    <xf numFmtId="0" fontId="3" fillId="0" borderId="0" xfId="0" applyFont="1" applyFill="1" applyAlignment="1">
      <alignment wrapText="1"/>
    </xf>
    <xf numFmtId="0" fontId="3" fillId="0" borderId="0" xfId="0" applyFont="1" applyFill="1"/>
    <xf numFmtId="0" fontId="2" fillId="0" borderId="0" xfId="0" applyFont="1" applyAlignment="1">
      <alignment wrapText="1"/>
    </xf>
    <xf numFmtId="8" fontId="0" fillId="0" borderId="0" xfId="1" applyNumberFormat="1" applyFont="1"/>
    <xf numFmtId="0" fontId="8" fillId="0" borderId="0" xfId="2" applyFont="1" applyAlignment="1">
      <alignment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.co/9MNSbOH" TargetMode="External"/><Relationship Id="rId2" Type="http://schemas.openxmlformats.org/officeDocument/2006/relationships/hyperlink" Target="http://a.co/9MNSbOH" TargetMode="External"/><Relationship Id="rId1" Type="http://schemas.openxmlformats.org/officeDocument/2006/relationships/hyperlink" Target="https://www.amazon.com/gp/product/B076PDVFQ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5037-60C9-0D48-8DC3-89718E754A3B}">
  <dimension ref="A1:F73"/>
  <sheetViews>
    <sheetView tabSelected="1" topLeftCell="A43" workbookViewId="0">
      <selection activeCell="F65" sqref="F65"/>
    </sheetView>
  </sheetViews>
  <sheetFormatPr baseColWidth="10" defaultRowHeight="16" x14ac:dyDescent="0.2"/>
  <cols>
    <col min="1" max="1" width="64" bestFit="1" customWidth="1"/>
    <col min="2" max="2" width="17.6640625" bestFit="1" customWidth="1"/>
    <col min="3" max="3" width="26.6640625" customWidth="1"/>
    <col min="4" max="4" width="9.1640625" bestFit="1" customWidth="1"/>
    <col min="5" max="5" width="11" bestFit="1" customWidth="1"/>
    <col min="6" max="6" width="19.1640625" customWidth="1"/>
  </cols>
  <sheetData>
    <row r="1" spans="1:6" x14ac:dyDescent="0.2">
      <c r="A1" s="1" t="s">
        <v>0</v>
      </c>
    </row>
    <row r="2" spans="1:6" x14ac:dyDescent="0.2">
      <c r="A2" s="1" t="s">
        <v>1</v>
      </c>
      <c r="B2" s="10" t="s">
        <v>79</v>
      </c>
      <c r="C2" s="11" t="s">
        <v>80</v>
      </c>
      <c r="D2" s="12" t="s">
        <v>81</v>
      </c>
      <c r="E2" s="13" t="s">
        <v>82</v>
      </c>
      <c r="F2" s="1" t="s">
        <v>83</v>
      </c>
    </row>
    <row r="3" spans="1:6" x14ac:dyDescent="0.2">
      <c r="A3" s="1"/>
    </row>
    <row r="4" spans="1:6" x14ac:dyDescent="0.2">
      <c r="A4" s="1" t="s">
        <v>84</v>
      </c>
      <c r="B4" s="10"/>
      <c r="C4" s="11"/>
      <c r="D4" s="12"/>
      <c r="E4" s="13"/>
    </row>
    <row r="5" spans="1:6" x14ac:dyDescent="0.2">
      <c r="B5" s="4"/>
      <c r="D5" s="5"/>
      <c r="E5" s="6"/>
    </row>
    <row r="6" spans="1:6" x14ac:dyDescent="0.2">
      <c r="A6" s="1" t="s">
        <v>2</v>
      </c>
      <c r="B6" s="7"/>
      <c r="D6" s="6"/>
      <c r="E6" s="6"/>
    </row>
    <row r="7" spans="1:6" x14ac:dyDescent="0.2">
      <c r="A7" s="16" t="s">
        <v>3</v>
      </c>
      <c r="B7" s="4">
        <v>4</v>
      </c>
      <c r="C7" t="s">
        <v>41</v>
      </c>
      <c r="D7" s="5">
        <v>0.38</v>
      </c>
      <c r="E7" s="6">
        <f>D7*B7</f>
        <v>1.52</v>
      </c>
    </row>
    <row r="8" spans="1:6" x14ac:dyDescent="0.2">
      <c r="A8" s="17" t="s">
        <v>4</v>
      </c>
      <c r="B8" s="7">
        <v>30</v>
      </c>
      <c r="C8" t="s">
        <v>42</v>
      </c>
      <c r="D8" s="6">
        <v>0.08</v>
      </c>
      <c r="E8" s="6">
        <f>D8*B8</f>
        <v>2.4</v>
      </c>
    </row>
    <row r="9" spans="1:6" x14ac:dyDescent="0.2">
      <c r="A9" s="17" t="s">
        <v>5</v>
      </c>
      <c r="B9" s="7">
        <v>3</v>
      </c>
      <c r="C9" t="s">
        <v>43</v>
      </c>
      <c r="D9" s="6">
        <v>0.73</v>
      </c>
      <c r="E9" s="6">
        <f>D9*B9</f>
        <v>2.19</v>
      </c>
    </row>
    <row r="10" spans="1:6" x14ac:dyDescent="0.2">
      <c r="A10" s="17" t="s">
        <v>6</v>
      </c>
      <c r="B10" s="7">
        <v>3</v>
      </c>
      <c r="C10" t="s">
        <v>44</v>
      </c>
      <c r="D10" s="6">
        <v>0.65</v>
      </c>
      <c r="E10" s="6">
        <f>D10*B10</f>
        <v>1.9500000000000002</v>
      </c>
    </row>
    <row r="11" spans="1:6" x14ac:dyDescent="0.2">
      <c r="A11" s="17" t="s">
        <v>7</v>
      </c>
      <c r="B11" s="7">
        <v>4</v>
      </c>
      <c r="C11" t="s">
        <v>45</v>
      </c>
      <c r="D11" s="6">
        <v>0.1</v>
      </c>
      <c r="E11" s="6">
        <f t="shared" ref="E11:E41" si="0">D11*B11</f>
        <v>0.4</v>
      </c>
    </row>
    <row r="12" spans="1:6" x14ac:dyDescent="0.2">
      <c r="A12" s="17" t="s">
        <v>8</v>
      </c>
      <c r="B12" s="7">
        <v>4</v>
      </c>
      <c r="C12" t="s">
        <v>46</v>
      </c>
      <c r="D12" s="6">
        <v>0.1</v>
      </c>
      <c r="E12" s="6">
        <f t="shared" si="0"/>
        <v>0.4</v>
      </c>
    </row>
    <row r="13" spans="1:6" x14ac:dyDescent="0.2">
      <c r="A13" s="17" t="s">
        <v>9</v>
      </c>
      <c r="B13" s="7">
        <v>30</v>
      </c>
      <c r="C13" t="s">
        <v>47</v>
      </c>
      <c r="D13" s="6">
        <v>0.1</v>
      </c>
      <c r="E13" s="6">
        <f t="shared" si="0"/>
        <v>3</v>
      </c>
    </row>
    <row r="14" spans="1:6" x14ac:dyDescent="0.2">
      <c r="A14" s="17" t="s">
        <v>10</v>
      </c>
      <c r="B14" s="7">
        <v>3</v>
      </c>
      <c r="C14" t="s">
        <v>48</v>
      </c>
      <c r="D14" s="6">
        <v>0.1</v>
      </c>
      <c r="E14" s="6">
        <f t="shared" si="0"/>
        <v>0.30000000000000004</v>
      </c>
    </row>
    <row r="15" spans="1:6" x14ac:dyDescent="0.2">
      <c r="A15" s="17" t="s">
        <v>11</v>
      </c>
      <c r="B15" s="7">
        <v>6</v>
      </c>
      <c r="C15" t="s">
        <v>49</v>
      </c>
      <c r="D15" s="6">
        <v>0.1</v>
      </c>
      <c r="E15" s="6">
        <f t="shared" si="0"/>
        <v>0.60000000000000009</v>
      </c>
    </row>
    <row r="16" spans="1:6" x14ac:dyDescent="0.2">
      <c r="A16" s="17" t="s">
        <v>12</v>
      </c>
      <c r="B16" s="7">
        <v>2</v>
      </c>
      <c r="C16" t="s">
        <v>50</v>
      </c>
      <c r="D16" s="6">
        <v>0.13</v>
      </c>
      <c r="E16" s="6">
        <f t="shared" si="0"/>
        <v>0.26</v>
      </c>
    </row>
    <row r="17" spans="1:5" x14ac:dyDescent="0.2">
      <c r="A17" s="17" t="s">
        <v>13</v>
      </c>
      <c r="B17" s="7">
        <v>2</v>
      </c>
      <c r="C17" t="s">
        <v>51</v>
      </c>
      <c r="D17" s="6">
        <v>0.12</v>
      </c>
      <c r="E17" s="6">
        <f t="shared" si="0"/>
        <v>0.24</v>
      </c>
    </row>
    <row r="18" spans="1:5" x14ac:dyDescent="0.2">
      <c r="A18" s="17" t="s">
        <v>14</v>
      </c>
      <c r="B18" s="7">
        <v>2</v>
      </c>
      <c r="C18" t="s">
        <v>52</v>
      </c>
      <c r="D18" s="6">
        <v>0.62</v>
      </c>
      <c r="E18" s="6">
        <f t="shared" si="0"/>
        <v>1.24</v>
      </c>
    </row>
    <row r="19" spans="1:5" x14ac:dyDescent="0.2">
      <c r="A19" s="17" t="s">
        <v>15</v>
      </c>
      <c r="B19" s="7">
        <v>3</v>
      </c>
      <c r="C19" t="s">
        <v>53</v>
      </c>
      <c r="D19" s="6">
        <v>0.59</v>
      </c>
      <c r="E19" s="6">
        <f t="shared" si="0"/>
        <v>1.77</v>
      </c>
    </row>
    <row r="20" spans="1:5" x14ac:dyDescent="0.2">
      <c r="A20" s="17" t="s">
        <v>16</v>
      </c>
      <c r="B20" s="7">
        <v>16</v>
      </c>
      <c r="C20" t="s">
        <v>54</v>
      </c>
      <c r="D20" s="6">
        <v>1.22</v>
      </c>
      <c r="E20" s="6">
        <f t="shared" si="0"/>
        <v>19.52</v>
      </c>
    </row>
    <row r="21" spans="1:5" x14ac:dyDescent="0.2">
      <c r="A21" s="17" t="s">
        <v>17</v>
      </c>
      <c r="B21" s="7">
        <v>1</v>
      </c>
      <c r="C21" t="s">
        <v>55</v>
      </c>
      <c r="D21" s="6">
        <v>17.21</v>
      </c>
      <c r="E21" s="6">
        <f t="shared" si="0"/>
        <v>17.21</v>
      </c>
    </row>
    <row r="22" spans="1:5" x14ac:dyDescent="0.2">
      <c r="A22" s="17" t="s">
        <v>18</v>
      </c>
      <c r="B22" s="7">
        <v>1</v>
      </c>
      <c r="C22" t="s">
        <v>56</v>
      </c>
      <c r="D22" s="6">
        <v>0.4</v>
      </c>
      <c r="E22" s="6">
        <f t="shared" si="0"/>
        <v>0.4</v>
      </c>
    </row>
    <row r="23" spans="1:5" x14ac:dyDescent="0.2">
      <c r="A23" s="17" t="s">
        <v>19</v>
      </c>
      <c r="B23" s="7">
        <v>1</v>
      </c>
      <c r="C23" t="s">
        <v>57</v>
      </c>
      <c r="D23" s="6">
        <v>1.03</v>
      </c>
      <c r="E23" s="6">
        <f t="shared" si="0"/>
        <v>1.03</v>
      </c>
    </row>
    <row r="24" spans="1:5" x14ac:dyDescent="0.2">
      <c r="A24" s="17" t="s">
        <v>20</v>
      </c>
      <c r="B24" s="7">
        <v>16</v>
      </c>
      <c r="C24" t="s">
        <v>58</v>
      </c>
      <c r="D24" s="6">
        <v>0.2</v>
      </c>
      <c r="E24" s="6">
        <f t="shared" si="0"/>
        <v>3.2</v>
      </c>
    </row>
    <row r="25" spans="1:5" x14ac:dyDescent="0.2">
      <c r="A25" s="17" t="s">
        <v>21</v>
      </c>
      <c r="B25" s="7">
        <v>16</v>
      </c>
      <c r="C25" t="s">
        <v>59</v>
      </c>
      <c r="D25" s="6">
        <v>0.1</v>
      </c>
      <c r="E25" s="6">
        <f t="shared" si="0"/>
        <v>1.6</v>
      </c>
    </row>
    <row r="26" spans="1:5" x14ac:dyDescent="0.2">
      <c r="A26" s="17" t="s">
        <v>22</v>
      </c>
      <c r="B26" s="7">
        <v>100</v>
      </c>
      <c r="C26" t="s">
        <v>60</v>
      </c>
      <c r="D26" s="6">
        <v>4.0899999999999999E-2</v>
      </c>
      <c r="E26" s="6">
        <f t="shared" si="0"/>
        <v>4.09</v>
      </c>
    </row>
    <row r="27" spans="1:5" x14ac:dyDescent="0.2">
      <c r="A27" s="17" t="s">
        <v>23</v>
      </c>
      <c r="B27" s="7">
        <v>1</v>
      </c>
      <c r="C27" t="s">
        <v>61</v>
      </c>
      <c r="D27" s="6">
        <v>0.37</v>
      </c>
      <c r="E27" s="6">
        <f t="shared" si="0"/>
        <v>0.37</v>
      </c>
    </row>
    <row r="28" spans="1:5" x14ac:dyDescent="0.2">
      <c r="A28" s="17" t="s">
        <v>24</v>
      </c>
      <c r="B28" s="7">
        <v>1</v>
      </c>
      <c r="C28" t="s">
        <v>62</v>
      </c>
      <c r="D28" s="6">
        <v>0.55000000000000004</v>
      </c>
      <c r="E28" s="6">
        <f t="shared" si="0"/>
        <v>0.55000000000000004</v>
      </c>
    </row>
    <row r="29" spans="1:5" x14ac:dyDescent="0.2">
      <c r="A29" s="17" t="s">
        <v>25</v>
      </c>
      <c r="B29" s="7">
        <v>1</v>
      </c>
      <c r="C29" t="s">
        <v>63</v>
      </c>
      <c r="D29" s="6">
        <v>0.1</v>
      </c>
      <c r="E29" s="6">
        <f t="shared" si="0"/>
        <v>0.1</v>
      </c>
    </row>
    <row r="30" spans="1:5" x14ac:dyDescent="0.2">
      <c r="A30" s="17" t="s">
        <v>26</v>
      </c>
      <c r="B30" s="7">
        <v>1</v>
      </c>
      <c r="C30" t="s">
        <v>64</v>
      </c>
      <c r="D30" s="6">
        <v>1.8</v>
      </c>
      <c r="E30" s="6">
        <f t="shared" si="0"/>
        <v>1.8</v>
      </c>
    </row>
    <row r="31" spans="1:5" x14ac:dyDescent="0.2">
      <c r="A31" s="17" t="s">
        <v>27</v>
      </c>
      <c r="B31" s="7">
        <v>1</v>
      </c>
      <c r="C31" t="s">
        <v>65</v>
      </c>
      <c r="D31" s="6">
        <v>0.51</v>
      </c>
      <c r="E31" s="6">
        <f t="shared" si="0"/>
        <v>0.51</v>
      </c>
    </row>
    <row r="32" spans="1:5" x14ac:dyDescent="0.2">
      <c r="A32" s="17" t="s">
        <v>28</v>
      </c>
      <c r="B32" s="7">
        <v>1</v>
      </c>
      <c r="C32" t="s">
        <v>66</v>
      </c>
      <c r="D32" s="6">
        <v>0.42</v>
      </c>
      <c r="E32" s="6">
        <f t="shared" si="0"/>
        <v>0.42</v>
      </c>
    </row>
    <row r="33" spans="1:6" x14ac:dyDescent="0.2">
      <c r="A33" s="17" t="s">
        <v>29</v>
      </c>
      <c r="B33" s="7">
        <v>2</v>
      </c>
      <c r="C33" t="s">
        <v>67</v>
      </c>
      <c r="D33" s="6">
        <v>0.72</v>
      </c>
      <c r="E33" s="6">
        <f t="shared" si="0"/>
        <v>1.44</v>
      </c>
    </row>
    <row r="34" spans="1:6" x14ac:dyDescent="0.2">
      <c r="A34" s="17" t="s">
        <v>30</v>
      </c>
      <c r="B34" s="7">
        <v>1</v>
      </c>
      <c r="C34" t="s">
        <v>68</v>
      </c>
      <c r="D34" s="6">
        <v>2.62</v>
      </c>
      <c r="E34" s="6">
        <f t="shared" si="0"/>
        <v>2.62</v>
      </c>
    </row>
    <row r="35" spans="1:6" x14ac:dyDescent="0.2">
      <c r="A35" s="18" t="s">
        <v>31</v>
      </c>
      <c r="B35" s="7">
        <v>1</v>
      </c>
      <c r="C35" t="s">
        <v>69</v>
      </c>
      <c r="D35" s="6">
        <v>1.25</v>
      </c>
      <c r="E35" s="6">
        <f t="shared" si="0"/>
        <v>1.25</v>
      </c>
    </row>
    <row r="36" spans="1:6" x14ac:dyDescent="0.2">
      <c r="A36" s="17" t="s">
        <v>32</v>
      </c>
      <c r="B36" s="7">
        <v>1</v>
      </c>
      <c r="C36" t="s">
        <v>70</v>
      </c>
      <c r="D36" s="6">
        <v>2.74</v>
      </c>
      <c r="E36" s="6">
        <f t="shared" si="0"/>
        <v>2.74</v>
      </c>
    </row>
    <row r="37" spans="1:6" x14ac:dyDescent="0.2">
      <c r="A37" s="3" t="s">
        <v>33</v>
      </c>
      <c r="B37" s="7">
        <v>16</v>
      </c>
      <c r="C37" t="s">
        <v>71</v>
      </c>
      <c r="D37" s="6">
        <v>0.18</v>
      </c>
      <c r="E37" s="6">
        <f t="shared" si="0"/>
        <v>2.88</v>
      </c>
    </row>
    <row r="38" spans="1:6" x14ac:dyDescent="0.2">
      <c r="A38" s="3" t="s">
        <v>34</v>
      </c>
      <c r="B38" s="7">
        <v>1</v>
      </c>
      <c r="C38" t="s">
        <v>72</v>
      </c>
      <c r="D38" s="6">
        <v>0.75</v>
      </c>
      <c r="E38" s="6">
        <f t="shared" si="0"/>
        <v>0.75</v>
      </c>
    </row>
    <row r="39" spans="1:6" x14ac:dyDescent="0.2">
      <c r="A39" s="3" t="s">
        <v>35</v>
      </c>
      <c r="B39" s="7">
        <v>1</v>
      </c>
      <c r="C39" t="s">
        <v>73</v>
      </c>
      <c r="D39" s="6">
        <v>1.71</v>
      </c>
      <c r="E39" s="6">
        <f t="shared" si="0"/>
        <v>1.71</v>
      </c>
    </row>
    <row r="40" spans="1:6" x14ac:dyDescent="0.2">
      <c r="A40" s="3" t="s">
        <v>36</v>
      </c>
      <c r="B40" s="7">
        <v>1</v>
      </c>
      <c r="C40" s="8" t="s">
        <v>74</v>
      </c>
      <c r="D40" s="6">
        <v>0.64</v>
      </c>
      <c r="E40" s="6">
        <f t="shared" si="0"/>
        <v>0.64</v>
      </c>
    </row>
    <row r="41" spans="1:6" x14ac:dyDescent="0.2">
      <c r="A41" s="3" t="s">
        <v>37</v>
      </c>
      <c r="B41" s="7">
        <v>1</v>
      </c>
      <c r="C41" s="9" t="s">
        <v>75</v>
      </c>
      <c r="D41" s="6">
        <v>0.67</v>
      </c>
      <c r="E41" s="6">
        <f t="shared" si="0"/>
        <v>0.67</v>
      </c>
    </row>
    <row r="42" spans="1:6" x14ac:dyDescent="0.2">
      <c r="A42" s="3" t="s">
        <v>38</v>
      </c>
      <c r="B42" s="7">
        <v>1</v>
      </c>
      <c r="C42" t="s">
        <v>76</v>
      </c>
      <c r="D42" s="6">
        <v>0.16</v>
      </c>
      <c r="E42" s="6">
        <f>D42*B42</f>
        <v>0.16</v>
      </c>
    </row>
    <row r="43" spans="1:6" x14ac:dyDescent="0.2">
      <c r="A43" s="3" t="s">
        <v>39</v>
      </c>
      <c r="B43" s="7">
        <v>1</v>
      </c>
      <c r="C43" t="s">
        <v>77</v>
      </c>
      <c r="D43" s="6">
        <v>0.14000000000000001</v>
      </c>
      <c r="E43" s="6">
        <f>D43*B43</f>
        <v>0.14000000000000001</v>
      </c>
    </row>
    <row r="44" spans="1:6" x14ac:dyDescent="0.2">
      <c r="A44" s="3" t="s">
        <v>40</v>
      </c>
      <c r="B44" s="7">
        <v>10</v>
      </c>
      <c r="C44" t="s">
        <v>78</v>
      </c>
      <c r="D44" s="6">
        <v>0.15</v>
      </c>
      <c r="E44" s="6">
        <f>D44*B44</f>
        <v>1.5</v>
      </c>
    </row>
    <row r="45" spans="1:6" x14ac:dyDescent="0.2">
      <c r="A45" s="3"/>
      <c r="B45" s="7"/>
      <c r="D45" s="6"/>
      <c r="E45" s="6"/>
    </row>
    <row r="46" spans="1:6" x14ac:dyDescent="0.2">
      <c r="A46" s="1" t="s">
        <v>85</v>
      </c>
    </row>
    <row r="47" spans="1:6" x14ac:dyDescent="0.2">
      <c r="B47" s="7"/>
      <c r="C47" s="14"/>
      <c r="D47" s="6"/>
      <c r="E47" s="6"/>
      <c r="F47" s="15"/>
    </row>
    <row r="48" spans="1:6" ht="34" x14ac:dyDescent="0.2">
      <c r="A48" s="2" t="s">
        <v>86</v>
      </c>
      <c r="B48" s="7">
        <v>1</v>
      </c>
      <c r="C48" s="14"/>
      <c r="D48" s="6">
        <v>9.99</v>
      </c>
      <c r="E48" s="6">
        <f>D48*B48</f>
        <v>9.99</v>
      </c>
      <c r="F48" s="15" t="s">
        <v>87</v>
      </c>
    </row>
    <row r="49" spans="1:6" ht="17" x14ac:dyDescent="0.2">
      <c r="A49" s="2" t="s">
        <v>89</v>
      </c>
      <c r="B49" s="7">
        <v>1</v>
      </c>
      <c r="C49" s="2"/>
      <c r="D49" s="6">
        <v>15.9</v>
      </c>
      <c r="E49" s="6">
        <f t="shared" ref="E49" si="1">D49*B49</f>
        <v>15.9</v>
      </c>
      <c r="F49" s="15" t="s">
        <v>88</v>
      </c>
    </row>
    <row r="51" spans="1:6" x14ac:dyDescent="0.2">
      <c r="A51" s="1" t="s">
        <v>93</v>
      </c>
    </row>
    <row r="52" spans="1:6" x14ac:dyDescent="0.2">
      <c r="A52" s="1"/>
      <c r="B52" s="7"/>
      <c r="C52" s="14"/>
      <c r="D52" s="6"/>
      <c r="E52" s="6"/>
      <c r="F52" s="15"/>
    </row>
    <row r="53" spans="1:6" x14ac:dyDescent="0.2">
      <c r="A53" s="2"/>
      <c r="B53" s="7"/>
      <c r="C53" s="14"/>
      <c r="D53" s="6"/>
      <c r="E53" s="6"/>
      <c r="F53" s="15"/>
    </row>
    <row r="54" spans="1:6" x14ac:dyDescent="0.2">
      <c r="A54" s="19"/>
      <c r="B54" s="7"/>
      <c r="C54" s="2"/>
      <c r="D54" s="6"/>
      <c r="E54" s="6"/>
      <c r="F54" s="15"/>
    </row>
    <row r="56" spans="1:6" x14ac:dyDescent="0.2">
      <c r="B56" s="7"/>
      <c r="C56" s="14"/>
      <c r="D56" s="6"/>
      <c r="E56" s="20"/>
      <c r="F56" s="15"/>
    </row>
    <row r="57" spans="1:6" x14ac:dyDescent="0.2">
      <c r="A57" s="2"/>
    </row>
    <row r="65" spans="1:6" x14ac:dyDescent="0.2">
      <c r="A65" s="1" t="s">
        <v>90</v>
      </c>
      <c r="B65" s="7"/>
      <c r="C65" s="14"/>
      <c r="D65" s="6"/>
      <c r="E65" s="6"/>
      <c r="F65" s="15"/>
    </row>
    <row r="66" spans="1:6" x14ac:dyDescent="0.2">
      <c r="A66" s="2"/>
      <c r="B66" s="7"/>
      <c r="C66" s="14"/>
      <c r="D66" s="6"/>
      <c r="E66" s="6"/>
      <c r="F66" s="15"/>
    </row>
    <row r="67" spans="1:6" ht="17" x14ac:dyDescent="0.2">
      <c r="A67" s="19" t="s">
        <v>2</v>
      </c>
      <c r="B67" s="7"/>
      <c r="C67" s="2"/>
      <c r="D67" s="6"/>
      <c r="E67" s="6"/>
      <c r="F67" s="15"/>
    </row>
    <row r="69" spans="1:6" ht="17" x14ac:dyDescent="0.2">
      <c r="A69" t="s">
        <v>94</v>
      </c>
      <c r="B69" s="7">
        <v>3</v>
      </c>
      <c r="C69" s="21" t="s">
        <v>95</v>
      </c>
      <c r="D69" s="6">
        <v>25.89</v>
      </c>
      <c r="E69" s="20">
        <f>D69*B69</f>
        <v>77.67</v>
      </c>
      <c r="F69" s="15" t="s">
        <v>92</v>
      </c>
    </row>
    <row r="71" spans="1:6" ht="17" x14ac:dyDescent="0.2">
      <c r="A71" s="19" t="s">
        <v>85</v>
      </c>
      <c r="B71" s="7"/>
      <c r="C71" s="2"/>
      <c r="D71" s="6"/>
      <c r="E71" s="6"/>
      <c r="F71" s="15"/>
    </row>
    <row r="73" spans="1:6" x14ac:dyDescent="0.2">
      <c r="A73" t="s">
        <v>91</v>
      </c>
      <c r="B73" s="7">
        <v>1</v>
      </c>
      <c r="C73" s="14"/>
      <c r="D73" s="6">
        <v>38.950000000000003</v>
      </c>
      <c r="E73" s="20">
        <f>D73*0</f>
        <v>0</v>
      </c>
      <c r="F73" s="15" t="s">
        <v>92</v>
      </c>
    </row>
  </sheetData>
  <hyperlinks>
    <hyperlink ref="F48" r:id="rId1" xr:uid="{CE098682-63F2-0540-816D-9DB4E2056C6A}"/>
    <hyperlink ref="F69" r:id="rId2" xr:uid="{E2F30FA9-C62F-DA44-9F5A-4734E843ADFE}"/>
    <hyperlink ref="F73" r:id="rId3" xr:uid="{49ECEDB9-2549-2442-BAAE-D7288653DE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Slater, Jack</dc:creator>
  <cp:lastModifiedBy>Slater, Jack</cp:lastModifiedBy>
  <dcterms:created xsi:type="dcterms:W3CDTF">2026-05-10T16:48:04Z</dcterms:created>
  <dcterms:modified xsi:type="dcterms:W3CDTF">2026-05-10T18:25:19Z</dcterms:modified>
</cp:coreProperties>
</file>